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  <sheet name="Investment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Sourced from Robinhood/TradingView market data, Sep 5, 2026 close. Update this cell with the latest price when you refresh the sheet.</t>
        </r>
      </text>
    </comment>
  </commentList>
</comments>
</file>

<file path=xl/sharedStrings.xml><?xml version="1.0" encoding="utf-8"?>
<sst xmlns="http://schemas.openxmlformats.org/spreadsheetml/2006/main" count="82" uniqueCount="64">
  <si>
    <t xml:space="preserve">Monthly Budget</t>
  </si>
  <si>
    <t xml:space="preserve">Legend: yellow cells = enter your own numbers. Everything else calculates automatically.</t>
  </si>
  <si>
    <t xml:space="preserve">Category</t>
  </si>
  <si>
    <t xml:space="preserve">Item</t>
  </si>
  <si>
    <t xml:space="preserve">Budgeted</t>
  </si>
  <si>
    <t xml:space="preserve">Actual</t>
  </si>
  <si>
    <t xml:space="preserve">Difference</t>
  </si>
  <si>
    <t xml:space="preserve">INCOME</t>
  </si>
  <si>
    <t xml:space="preserve">Income</t>
  </si>
  <si>
    <t xml:space="preserve">Salary / Wages (net)</t>
  </si>
  <si>
    <t xml:space="preserve">Side income</t>
  </si>
  <si>
    <t xml:space="preserve">Other income</t>
  </si>
  <si>
    <t xml:space="preserve">Total Income</t>
  </si>
  <si>
    <t xml:space="preserve">HOUSING</t>
  </si>
  <si>
    <t xml:space="preserve">Housing</t>
  </si>
  <si>
    <t xml:space="preserve">Rent / Mortgage</t>
  </si>
  <si>
    <t xml:space="preserve">Electricity / Gas</t>
  </si>
  <si>
    <t xml:space="preserve">Water / Sewer / Trash</t>
  </si>
  <si>
    <t xml:space="preserve">Internet</t>
  </si>
  <si>
    <t xml:space="preserve">Home / Renters insurance</t>
  </si>
  <si>
    <t xml:space="preserve">TRANSPORTATION</t>
  </si>
  <si>
    <t xml:space="preserve">Transportation</t>
  </si>
  <si>
    <t xml:space="preserve">Car payment</t>
  </si>
  <si>
    <t xml:space="preserve">Auto insurance</t>
  </si>
  <si>
    <t xml:space="preserve">Gas / Fuel</t>
  </si>
  <si>
    <t xml:space="preserve">Public transit / rideshare</t>
  </si>
  <si>
    <t xml:space="preserve">FOOD</t>
  </si>
  <si>
    <t xml:space="preserve">Food</t>
  </si>
  <si>
    <t xml:space="preserve">Groceries</t>
  </si>
  <si>
    <t xml:space="preserve">Dining out</t>
  </si>
  <si>
    <t xml:space="preserve">DEBT PAYMENTS</t>
  </si>
  <si>
    <t xml:space="preserve">Debt</t>
  </si>
  <si>
    <t xml:space="preserve">Credit cards</t>
  </si>
  <si>
    <t xml:space="preserve">Student loans</t>
  </si>
  <si>
    <t xml:space="preserve">Other loans</t>
  </si>
  <si>
    <t xml:space="preserve">SAVINGS &amp; INVESTMENTS</t>
  </si>
  <si>
    <t xml:space="preserve">Savings</t>
  </si>
  <si>
    <t xml:space="preserve">Emergency fund</t>
  </si>
  <si>
    <t xml:space="preserve">Retirement (401k / IRA)</t>
  </si>
  <si>
    <t xml:space="preserve">Brokerage / stock investing (see Investment Tracker tab)</t>
  </si>
  <si>
    <t xml:space="preserve">PERSONAL &amp; DISCRETIONARY</t>
  </si>
  <si>
    <t xml:space="preserve">Personal</t>
  </si>
  <si>
    <t xml:space="preserve">Subscriptions (streaming, apps)</t>
  </si>
  <si>
    <t xml:space="preserve">Health / Fitness</t>
  </si>
  <si>
    <t xml:space="preserve">Entertainment</t>
  </si>
  <si>
    <t xml:space="preserve">Shopping / Misc</t>
  </si>
  <si>
    <t xml:space="preserve">SUMMARY</t>
  </si>
  <si>
    <t xml:space="preserve">Total Expenses</t>
  </si>
  <si>
    <t xml:space="preserve">Net (Income - Expenses)</t>
  </si>
  <si>
    <t xml:space="preserve">Investment Tracker</t>
  </si>
  <si>
    <t xml:space="preserve">Legend: yellow cells = enter your own holdings (ticker, company, shares, avg cost). Everything else calculates automatically.</t>
  </si>
  <si>
    <t xml:space="preserve">Ticker</t>
  </si>
  <si>
    <t xml:space="preserve">Company</t>
  </si>
  <si>
    <t xml:space="preserve">Shares</t>
  </si>
  <si>
    <t xml:space="preserve">Avg Cost/Share</t>
  </si>
  <si>
    <t xml:space="preserve">Current Price</t>
  </si>
  <si>
    <t xml:space="preserve">Cost Basis</t>
  </si>
  <si>
    <t xml:space="preserve">Market Value</t>
  </si>
  <si>
    <t xml:space="preserve">Gain/Loss ($)</t>
  </si>
  <si>
    <t xml:space="preserve">Gain/Loss (%)</t>
  </si>
  <si>
    <t xml:space="preserve">NVDA</t>
  </si>
  <si>
    <t xml:space="preserve">NVIDIA Corporation</t>
  </si>
  <si>
    <t xml:space="preserve">TOTAL</t>
  </si>
  <si>
    <t xml:space="preserve">Note: NVDA row is a sample holding with an illustrative 10-share position and $120 avg cost — replace with your real numbers.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</si>
</sst>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#,##0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4500</v>
      </c>
      <c r="D6" s="6" t="n">
        <v>4500</v>
      </c>
      <c r="E6" s="7" t="n">
        <f aca="false">D6-C6</f>
        <v>0</v>
      </c>
    </row>
    <row r="7" customFormat="false" ht="15" hidden="false" customHeight="false" outlineLevel="0" collapsed="false">
      <c r="A7" s="5" t="s">
        <v>8</v>
      </c>
      <c r="B7" s="5" t="s">
        <v>10</v>
      </c>
      <c r="C7" s="6" t="n">
        <v>0</v>
      </c>
      <c r="D7" s="6" t="n">
        <v>0</v>
      </c>
      <c r="E7" s="7" t="n">
        <f aca="false">D7-C7</f>
        <v>0</v>
      </c>
    </row>
    <row r="8" customFormat="false" ht="15" hidden="false" customHeight="false" outlineLevel="0" collapsed="false">
      <c r="A8" s="5" t="s">
        <v>8</v>
      </c>
      <c r="B8" s="5" t="s">
        <v>11</v>
      </c>
      <c r="C8" s="6" t="n">
        <v>0</v>
      </c>
      <c r="D8" s="6" t="n">
        <v>0</v>
      </c>
      <c r="E8" s="7" t="n">
        <f aca="false">D8-C8</f>
        <v>0</v>
      </c>
    </row>
    <row r="9" customFormat="false" ht="15" hidden="false" customHeight="false" outlineLevel="0" collapsed="false">
      <c r="A9" s="8"/>
      <c r="B9" s="9" t="s">
        <v>12</v>
      </c>
      <c r="C9" s="10" t="n">
        <f aca="false">SUM(C6:C8)</f>
        <v>4500</v>
      </c>
      <c r="D9" s="10" t="n">
        <f aca="false">SUM(D6:D8)</f>
        <v>4500</v>
      </c>
      <c r="E9" s="10" t="n">
        <f aca="false">SUM(E6:E8)</f>
        <v>0</v>
      </c>
    </row>
    <row r="11" customFormat="false" ht="15" hidden="false" customHeight="false" outlineLevel="0" collapsed="false">
      <c r="A11" s="4" t="s">
        <v>13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14</v>
      </c>
      <c r="B12" s="5" t="s">
        <v>15</v>
      </c>
      <c r="C12" s="6" t="n">
        <v>1500</v>
      </c>
      <c r="D12" s="6" t="n">
        <v>1500</v>
      </c>
      <c r="E12" s="7" t="n">
        <f aca="false">D12-C12</f>
        <v>0</v>
      </c>
    </row>
    <row r="13" customFormat="false" ht="15" hidden="false" customHeight="false" outlineLevel="0" collapsed="false">
      <c r="A13" s="5" t="s">
        <v>14</v>
      </c>
      <c r="B13" s="5" t="s">
        <v>16</v>
      </c>
      <c r="C13" s="6" t="n">
        <v>120</v>
      </c>
      <c r="D13" s="6" t="n">
        <v>120</v>
      </c>
      <c r="E13" s="7" t="n">
        <f aca="false">D13-C13</f>
        <v>0</v>
      </c>
    </row>
    <row r="14" customFormat="false" ht="15" hidden="false" customHeight="false" outlineLevel="0" collapsed="false">
      <c r="A14" s="5" t="s">
        <v>14</v>
      </c>
      <c r="B14" s="5" t="s">
        <v>17</v>
      </c>
      <c r="C14" s="6" t="n">
        <v>60</v>
      </c>
      <c r="D14" s="6" t="n">
        <v>60</v>
      </c>
      <c r="E14" s="7" t="n">
        <f aca="false">D14-C14</f>
        <v>0</v>
      </c>
    </row>
    <row r="15" customFormat="false" ht="15" hidden="false" customHeight="false" outlineLevel="0" collapsed="false">
      <c r="A15" s="5" t="s">
        <v>14</v>
      </c>
      <c r="B15" s="5" t="s">
        <v>18</v>
      </c>
      <c r="C15" s="6" t="n">
        <v>65</v>
      </c>
      <c r="D15" s="6" t="n">
        <v>65</v>
      </c>
      <c r="E15" s="7" t="n">
        <f aca="false">D15-C15</f>
        <v>0</v>
      </c>
    </row>
    <row r="16" customFormat="false" ht="15" hidden="false" customHeight="false" outlineLevel="0" collapsed="false">
      <c r="A16" s="5" t="s">
        <v>14</v>
      </c>
      <c r="B16" s="5" t="s">
        <v>19</v>
      </c>
      <c r="C16" s="6" t="n">
        <v>25</v>
      </c>
      <c r="D16" s="6" t="n">
        <v>25</v>
      </c>
      <c r="E16" s="7" t="n">
        <f aca="false">D16-C16</f>
        <v>0</v>
      </c>
    </row>
    <row r="18" customFormat="false" ht="15" hidden="false" customHeight="false" outlineLevel="0" collapsed="false">
      <c r="A18" s="4" t="s">
        <v>20</v>
      </c>
      <c r="B18" s="4"/>
      <c r="C18" s="4"/>
      <c r="D18" s="4"/>
      <c r="E18" s="4"/>
    </row>
    <row r="19" customFormat="false" ht="15" hidden="false" customHeight="false" outlineLevel="0" collapsed="false">
      <c r="A19" s="5" t="s">
        <v>21</v>
      </c>
      <c r="B19" s="5" t="s">
        <v>22</v>
      </c>
      <c r="C19" s="6" t="n">
        <v>350</v>
      </c>
      <c r="D19" s="6" t="n">
        <v>350</v>
      </c>
      <c r="E19" s="7" t="n">
        <f aca="false">D19-C19</f>
        <v>0</v>
      </c>
    </row>
    <row r="20" customFormat="false" ht="15" hidden="false" customHeight="false" outlineLevel="0" collapsed="false">
      <c r="A20" s="5" t="s">
        <v>21</v>
      </c>
      <c r="B20" s="5" t="s">
        <v>23</v>
      </c>
      <c r="C20" s="6" t="n">
        <v>110</v>
      </c>
      <c r="D20" s="6" t="n">
        <v>110</v>
      </c>
      <c r="E20" s="7" t="n">
        <f aca="false">D20-C20</f>
        <v>0</v>
      </c>
    </row>
    <row r="21" customFormat="false" ht="15" hidden="false" customHeight="false" outlineLevel="0" collapsed="false">
      <c r="A21" s="5" t="s">
        <v>21</v>
      </c>
      <c r="B21" s="5" t="s">
        <v>24</v>
      </c>
      <c r="C21" s="6" t="n">
        <v>140</v>
      </c>
      <c r="D21" s="6" t="n">
        <v>140</v>
      </c>
      <c r="E21" s="7" t="n">
        <f aca="false">D21-C21</f>
        <v>0</v>
      </c>
    </row>
    <row r="22" customFormat="false" ht="15" hidden="false" customHeight="false" outlineLevel="0" collapsed="false">
      <c r="A22" s="5" t="s">
        <v>21</v>
      </c>
      <c r="B22" s="5" t="s">
        <v>25</v>
      </c>
      <c r="C22" s="6" t="n">
        <v>40</v>
      </c>
      <c r="D22" s="6" t="n">
        <v>40</v>
      </c>
      <c r="E22" s="7" t="n">
        <f aca="false">D22-C22</f>
        <v>0</v>
      </c>
    </row>
    <row r="24" customFormat="false" ht="15" hidden="false" customHeight="false" outlineLevel="0" collapsed="false">
      <c r="A24" s="4" t="s">
        <v>26</v>
      </c>
      <c r="B24" s="4"/>
      <c r="C24" s="4"/>
      <c r="D24" s="4"/>
      <c r="E24" s="4"/>
    </row>
    <row r="25" customFormat="false" ht="15" hidden="false" customHeight="false" outlineLevel="0" collapsed="false">
      <c r="A25" s="5" t="s">
        <v>27</v>
      </c>
      <c r="B25" s="5" t="s">
        <v>28</v>
      </c>
      <c r="C25" s="6" t="n">
        <v>450</v>
      </c>
      <c r="D25" s="6" t="n">
        <v>450</v>
      </c>
      <c r="E25" s="7" t="n">
        <f aca="false">D25-C25</f>
        <v>0</v>
      </c>
    </row>
    <row r="26" customFormat="false" ht="15" hidden="false" customHeight="false" outlineLevel="0" collapsed="false">
      <c r="A26" s="5" t="s">
        <v>27</v>
      </c>
      <c r="B26" s="5" t="s">
        <v>29</v>
      </c>
      <c r="C26" s="6" t="n">
        <v>200</v>
      </c>
      <c r="D26" s="6" t="n">
        <v>200</v>
      </c>
      <c r="E26" s="7" t="n">
        <f aca="false">D26-C26</f>
        <v>0</v>
      </c>
    </row>
    <row r="28" customFormat="false" ht="15" hidden="false" customHeight="false" outlineLevel="0" collapsed="false">
      <c r="A28" s="4" t="s">
        <v>30</v>
      </c>
      <c r="B28" s="4"/>
      <c r="C28" s="4"/>
      <c r="D28" s="4"/>
      <c r="E28" s="4"/>
    </row>
    <row r="29" customFormat="false" ht="15" hidden="false" customHeight="false" outlineLevel="0" collapsed="false">
      <c r="A29" s="5" t="s">
        <v>31</v>
      </c>
      <c r="B29" s="5" t="s">
        <v>32</v>
      </c>
      <c r="C29" s="6" t="n">
        <v>100</v>
      </c>
      <c r="D29" s="6" t="n">
        <v>100</v>
      </c>
      <c r="E29" s="7" t="n">
        <f aca="false">D29-C29</f>
        <v>0</v>
      </c>
    </row>
    <row r="30" customFormat="false" ht="15" hidden="false" customHeight="false" outlineLevel="0" collapsed="false">
      <c r="A30" s="5" t="s">
        <v>31</v>
      </c>
      <c r="B30" s="5" t="s">
        <v>33</v>
      </c>
      <c r="C30" s="6" t="n">
        <v>200</v>
      </c>
      <c r="D30" s="6" t="n">
        <v>200</v>
      </c>
      <c r="E30" s="7" t="n">
        <f aca="false">D30-C30</f>
        <v>0</v>
      </c>
    </row>
    <row r="31" customFormat="false" ht="15" hidden="false" customHeight="false" outlineLevel="0" collapsed="false">
      <c r="A31" s="5" t="s">
        <v>31</v>
      </c>
      <c r="B31" s="5" t="s">
        <v>34</v>
      </c>
      <c r="C31" s="6" t="n">
        <v>0</v>
      </c>
      <c r="D31" s="6" t="n">
        <v>0</v>
      </c>
      <c r="E31" s="7" t="n">
        <f aca="false">D31-C31</f>
        <v>0</v>
      </c>
    </row>
    <row r="33" customFormat="false" ht="15" hidden="false" customHeight="false" outlineLevel="0" collapsed="false">
      <c r="A33" s="4" t="s">
        <v>35</v>
      </c>
      <c r="B33" s="4"/>
      <c r="C33" s="4"/>
      <c r="D33" s="4"/>
      <c r="E33" s="4"/>
    </row>
    <row r="34" customFormat="false" ht="15" hidden="false" customHeight="false" outlineLevel="0" collapsed="false">
      <c r="A34" s="5" t="s">
        <v>36</v>
      </c>
      <c r="B34" s="5" t="s">
        <v>37</v>
      </c>
      <c r="C34" s="6" t="n">
        <v>200</v>
      </c>
      <c r="D34" s="6" t="n">
        <v>200</v>
      </c>
      <c r="E34" s="7" t="n">
        <f aca="false">D34-C34</f>
        <v>0</v>
      </c>
    </row>
    <row r="35" customFormat="false" ht="15" hidden="false" customHeight="false" outlineLevel="0" collapsed="false">
      <c r="A35" s="5" t="s">
        <v>36</v>
      </c>
      <c r="B35" s="5" t="s">
        <v>38</v>
      </c>
      <c r="C35" s="6" t="n">
        <v>300</v>
      </c>
      <c r="D35" s="6" t="n">
        <v>300</v>
      </c>
      <c r="E35" s="7" t="n">
        <f aca="false">D35-C35</f>
        <v>0</v>
      </c>
    </row>
    <row r="36" customFormat="false" ht="15" hidden="false" customHeight="false" outlineLevel="0" collapsed="false">
      <c r="A36" s="5" t="s">
        <v>36</v>
      </c>
      <c r="B36" s="5" t="s">
        <v>39</v>
      </c>
      <c r="C36" s="6" t="n">
        <v>200</v>
      </c>
      <c r="D36" s="6" t="n">
        <v>200</v>
      </c>
      <c r="E36" s="7" t="n">
        <f aca="false">D36-C36</f>
        <v>0</v>
      </c>
    </row>
    <row r="38" customFormat="false" ht="15" hidden="false" customHeight="false" outlineLevel="0" collapsed="false">
      <c r="A38" s="4" t="s">
        <v>40</v>
      </c>
      <c r="B38" s="4"/>
      <c r="C38" s="4"/>
      <c r="D38" s="4"/>
      <c r="E38" s="4"/>
    </row>
    <row r="39" customFormat="false" ht="15" hidden="false" customHeight="false" outlineLevel="0" collapsed="false">
      <c r="A39" s="5" t="s">
        <v>41</v>
      </c>
      <c r="B39" s="5" t="s">
        <v>42</v>
      </c>
      <c r="C39" s="6" t="n">
        <v>40</v>
      </c>
      <c r="D39" s="6" t="n">
        <v>40</v>
      </c>
      <c r="E39" s="7" t="n">
        <f aca="false">D39-C39</f>
        <v>0</v>
      </c>
    </row>
    <row r="40" customFormat="false" ht="15" hidden="false" customHeight="false" outlineLevel="0" collapsed="false">
      <c r="A40" s="5" t="s">
        <v>41</v>
      </c>
      <c r="B40" s="5" t="s">
        <v>43</v>
      </c>
      <c r="C40" s="6" t="n">
        <v>60</v>
      </c>
      <c r="D40" s="6" t="n">
        <v>60</v>
      </c>
      <c r="E40" s="7" t="n">
        <f aca="false">D40-C40</f>
        <v>0</v>
      </c>
    </row>
    <row r="41" customFormat="false" ht="15" hidden="false" customHeight="false" outlineLevel="0" collapsed="false">
      <c r="A41" s="5" t="s">
        <v>41</v>
      </c>
      <c r="B41" s="5" t="s">
        <v>44</v>
      </c>
      <c r="C41" s="6" t="n">
        <v>100</v>
      </c>
      <c r="D41" s="6" t="n">
        <v>100</v>
      </c>
      <c r="E41" s="7" t="n">
        <f aca="false">D41-C41</f>
        <v>0</v>
      </c>
    </row>
    <row r="42" customFormat="false" ht="15" hidden="false" customHeight="false" outlineLevel="0" collapsed="false">
      <c r="A42" s="5" t="s">
        <v>41</v>
      </c>
      <c r="B42" s="5" t="s">
        <v>45</v>
      </c>
      <c r="C42" s="6" t="n">
        <v>100</v>
      </c>
      <c r="D42" s="6" t="n">
        <v>100</v>
      </c>
      <c r="E42" s="7" t="n">
        <f aca="false">D42-C42</f>
        <v>0</v>
      </c>
    </row>
    <row r="45" customFormat="false" ht="15" hidden="false" customHeight="false" outlineLevel="0" collapsed="false">
      <c r="A45" s="11" t="s">
        <v>46</v>
      </c>
      <c r="B45" s="11"/>
      <c r="C45" s="11"/>
      <c r="D45" s="11"/>
      <c r="E45" s="11"/>
    </row>
    <row r="46" customFormat="false" ht="15" hidden="false" customHeight="false" outlineLevel="0" collapsed="false">
      <c r="B46" s="12" t="s">
        <v>12</v>
      </c>
      <c r="C46" s="13" t="n">
        <f aca="false">C9</f>
        <v>4500</v>
      </c>
      <c r="D46" s="13" t="n">
        <f aca="false">D9</f>
        <v>4500</v>
      </c>
    </row>
    <row r="47" customFormat="false" ht="15" hidden="false" customHeight="false" outlineLevel="0" collapsed="false">
      <c r="B47" s="12" t="s">
        <v>47</v>
      </c>
      <c r="C47" s="13" t="n">
        <f aca="false">SUM(C12:C16)+SUM(C19:C22)+SUM(C25:C26)+SUM(C29:C31)+SUM(C34:C36)+SUM(C39:C42)</f>
        <v>4360</v>
      </c>
      <c r="D47" s="13" t="n">
        <f aca="false">SUM(D12:D16)+SUM(D19:D22)+SUM(D25:D26)+SUM(D29:D31)+SUM(D34:D36)+SUM(D39:D42)</f>
        <v>4360</v>
      </c>
    </row>
    <row r="48" customFormat="false" ht="15" hidden="false" customHeight="false" outlineLevel="0" collapsed="false">
      <c r="A48" s="8"/>
      <c r="B48" s="9" t="s">
        <v>48</v>
      </c>
      <c r="C48" s="10" t="n">
        <f aca="false">C46-C47</f>
        <v>140</v>
      </c>
      <c r="D48" s="10" t="n">
        <f aca="false">D46-D47</f>
        <v>140</v>
      </c>
      <c r="E48" s="14"/>
    </row>
  </sheetData>
  <mergeCells count="8">
    <mergeCell ref="A5:E5"/>
    <mergeCell ref="A11:E11"/>
    <mergeCell ref="A18:E18"/>
    <mergeCell ref="A24:E24"/>
    <mergeCell ref="A28:E28"/>
    <mergeCell ref="A33:E33"/>
    <mergeCell ref="A38:E38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8" min="6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26.85" hidden="false" customHeight="false" outlineLevel="0" collapsed="false">
      <c r="A4" s="15" t="s">
        <v>51</v>
      </c>
      <c r="B4" s="15" t="s">
        <v>52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  <c r="I4" s="15" t="s">
        <v>59</v>
      </c>
    </row>
    <row r="5" customFormat="false" ht="15" hidden="false" customHeight="false" outlineLevel="0" collapsed="false">
      <c r="A5" s="16" t="s">
        <v>60</v>
      </c>
      <c r="B5" s="16" t="s">
        <v>61</v>
      </c>
      <c r="C5" s="17" t="n">
        <v>10</v>
      </c>
      <c r="D5" s="6" t="n">
        <v>120</v>
      </c>
      <c r="E5" s="6" t="n">
        <v>229.63</v>
      </c>
      <c r="F5" s="7" t="n">
        <f aca="false">C5*D5</f>
        <v>1200</v>
      </c>
      <c r="G5" s="7" t="n">
        <f aca="false">C5*E5</f>
        <v>2296.3</v>
      </c>
      <c r="H5" s="7" t="n">
        <f aca="false">G5-F5</f>
        <v>1096.3</v>
      </c>
      <c r="I5" s="18" t="n">
        <f aca="false">IFERROR(H5/F5,0)</f>
        <v>0.913583333333334</v>
      </c>
    </row>
    <row r="6" customFormat="false" ht="15" hidden="false" customHeight="false" outlineLevel="0" collapsed="false">
      <c r="A6" s="14"/>
      <c r="B6" s="14"/>
      <c r="C6" s="19"/>
      <c r="D6" s="20"/>
      <c r="E6" s="20"/>
      <c r="F6" s="21" t="n">
        <f aca="false">IFERROR(C6*D6,0)</f>
        <v>0</v>
      </c>
      <c r="G6" s="21" t="n">
        <f aca="false">IFERROR(C6*E6,0)</f>
        <v>0</v>
      </c>
      <c r="H6" s="21" t="n">
        <f aca="false">G6-F6</f>
        <v>0</v>
      </c>
      <c r="I6" s="22" t="n">
        <f aca="false">IFERROR(H6/F6,0)</f>
        <v>0</v>
      </c>
    </row>
    <row r="7" customFormat="false" ht="15" hidden="false" customHeight="false" outlineLevel="0" collapsed="false">
      <c r="A7" s="14"/>
      <c r="B7" s="14"/>
      <c r="C7" s="19"/>
      <c r="D7" s="20"/>
      <c r="E7" s="20"/>
      <c r="F7" s="21" t="n">
        <f aca="false">IFERROR(C7*D7,0)</f>
        <v>0</v>
      </c>
      <c r="G7" s="21" t="n">
        <f aca="false">IFERROR(C7*E7,0)</f>
        <v>0</v>
      </c>
      <c r="H7" s="21" t="n">
        <f aca="false">G7-F7</f>
        <v>0</v>
      </c>
      <c r="I7" s="22" t="n">
        <f aca="false">IFERROR(H7/F7,0)</f>
        <v>0</v>
      </c>
    </row>
    <row r="8" customFormat="false" ht="15" hidden="false" customHeight="false" outlineLevel="0" collapsed="false">
      <c r="A8" s="14"/>
      <c r="B8" s="14"/>
      <c r="C8" s="19"/>
      <c r="D8" s="20"/>
      <c r="E8" s="20"/>
      <c r="F8" s="21" t="n">
        <f aca="false">IFERROR(C8*D8,0)</f>
        <v>0</v>
      </c>
      <c r="G8" s="21" t="n">
        <f aca="false">IFERROR(C8*E8,0)</f>
        <v>0</v>
      </c>
      <c r="H8" s="21" t="n">
        <f aca="false">G8-F8</f>
        <v>0</v>
      </c>
      <c r="I8" s="22" t="n">
        <f aca="false">IFERROR(H8/F8,0)</f>
        <v>0</v>
      </c>
    </row>
    <row r="9" customFormat="false" ht="15" hidden="false" customHeight="false" outlineLevel="0" collapsed="false">
      <c r="A9" s="14"/>
      <c r="B9" s="14"/>
      <c r="C9" s="19"/>
      <c r="D9" s="20"/>
      <c r="E9" s="20"/>
      <c r="F9" s="21" t="n">
        <f aca="false">IFERROR(C9*D9,0)</f>
        <v>0</v>
      </c>
      <c r="G9" s="21" t="n">
        <f aca="false">IFERROR(C9*E9,0)</f>
        <v>0</v>
      </c>
      <c r="H9" s="21" t="n">
        <f aca="false">G9-F9</f>
        <v>0</v>
      </c>
      <c r="I9" s="22" t="n">
        <f aca="false">IFERROR(H9/F9,0)</f>
        <v>0</v>
      </c>
    </row>
    <row r="10" customFormat="false" ht="15" hidden="false" customHeight="false" outlineLevel="0" collapsed="false">
      <c r="A10" s="8"/>
      <c r="B10" s="23" t="s">
        <v>62</v>
      </c>
      <c r="C10" s="14"/>
      <c r="D10" s="14"/>
      <c r="E10" s="14"/>
      <c r="F10" s="10" t="n">
        <f aca="false">SUM(F5:F9)</f>
        <v>1200</v>
      </c>
      <c r="G10" s="10" t="n">
        <f aca="false">SUM(G5:G9)</f>
        <v>2296.3</v>
      </c>
      <c r="H10" s="10" t="n">
        <f aca="false">SUM(H5:H9)</f>
        <v>1096.3</v>
      </c>
      <c r="I10" s="24" t="n">
        <f aca="false">IFERROR(H10/F10,0)</f>
        <v>0.913583333333334</v>
      </c>
    </row>
    <row r="12" customFormat="false" ht="15" hidden="false" customHeight="false" outlineLevel="0" collapsed="false">
      <c r="A12" s="25" t="s">
        <v>63</v>
      </c>
      <c r="B12" s="25"/>
      <c r="C12" s="25"/>
      <c r="D12" s="25"/>
      <c r="E12" s="25"/>
      <c r="F12" s="25"/>
      <c r="G12" s="25"/>
      <c r="H12" s="25"/>
      <c r="I12" s="25"/>
    </row>
  </sheetData>
  <mergeCells count="1"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2026-09-05T21:29:11Z</dcterms:created>
  <dc:creator>openpyxl</dc:creator>
  <dc:description/>
  <dc:language>en-US</dc:language>
  <cp:lastModifiedBy/>
  <dcterms:modified xsi:type="dcterms:W3CDTF">2026-09-05T21:29:11Z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