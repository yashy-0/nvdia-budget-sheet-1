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<sst xmlns="http://schemas.openxmlformats.org/spreadsheetml/2006/main" count="49" uniqueCount="49">
  <si>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NVIDIA Corporation — Condensed Consolidated Balance Sheet</t>
  </si>
  <si>
    <t xml:space="preserve">(In millions of U.S. dollars, unaudited)</t>
  </si>
  <si>
    <t xml:space="preserve">Source: NVIDIA Corporation Form 10-Q for the quarterly period ended July 26, 2026, filed with the SEC (https://www.sec.gov/Archives/edgar/data/1045810/000104581026000075/nvda-20260726.htm). All figures are hardcoded from the filing, not formulas linked to a live feed.</t>
  </si>
  <si>
    <t xml:space="preserve">Line Item</t>
  </si>
  <si>
    <t xml:space="preserve">Jul 26, 2026</t>
  </si>
  <si>
    <t xml:space="preserve">Jan 25, 2026</t>
  </si>
  <si>
    <t xml:space="preserve">ASSETS</t>
  </si>
  <si>
    <t xml:space="preserve">Current assets:</t>
  </si>
  <si>
    <t xml:space="preserve">    Cash and cash equivalents</t>
  </si>
  <si>
    <t xml:space="preserve">    Marketable debt securities</t>
  </si>
  <si>
    <t xml:space="preserve">    Marketable equity securities</t>
  </si>
  <si>
    <t xml:space="preserve">    Accounts receivable, net</t>
  </si>
  <si>
    <t xml:space="preserve">    Inventories</t>
  </si>
  <si>
    <t xml:space="preserve">    Prepaid expenses and other current assets</t>
  </si>
  <si>
    <t xml:space="preserve">Total current assets</t>
  </si>
  <si>
    <t xml:space="preserve">Non-current assets:</t>
  </si>
  <si>
    <t xml:space="preserve">    Property and equipment, net</t>
  </si>
  <si>
    <t xml:space="preserve">    Operating lease assets</t>
  </si>
  <si>
    <t xml:space="preserve">    Goodwill</t>
  </si>
  <si>
    <t xml:space="preserve">    Intangible assets, net</t>
  </si>
  <si>
    <t xml:space="preserve">    Deferred income tax assets</t>
  </si>
  <si>
    <t xml:space="preserve">    Non-marketable securities</t>
  </si>
  <si>
    <t xml:space="preserve">    Other assets</t>
  </si>
  <si>
    <t xml:space="preserve">TOTAL ASSETS</t>
  </si>
  <si>
    <t xml:space="preserve">LIABILITIES</t>
  </si>
  <si>
    <t xml:space="preserve">Current liabilities:</t>
  </si>
  <si>
    <t xml:space="preserve">    Accounts payable</t>
  </si>
  <si>
    <t xml:space="preserve">    Accrued and other current liabilities</t>
  </si>
  <si>
    <t xml:space="preserve">    Short-term debt</t>
  </si>
  <si>
    <t xml:space="preserve">Total current liabilities</t>
  </si>
  <si>
    <t xml:space="preserve">Non-current liabilities:</t>
  </si>
  <si>
    <t xml:space="preserve">    Long-term debt</t>
  </si>
  <si>
    <t xml:space="preserve">    Long-term operating lease liabilities</t>
  </si>
  <si>
    <t xml:space="preserve">    Other long-term liabilities</t>
  </si>
  <si>
    <t xml:space="preserve">TOTAL LIABILITIES</t>
  </si>
  <si>
    <t xml:space="preserve">SHAREHOLDERS' EQUITY</t>
  </si>
  <si>
    <t xml:space="preserve">    Preferred stock</t>
  </si>
  <si>
    <t xml:space="preserve">    Common stock</t>
  </si>
  <si>
    <t xml:space="preserve">    Additional paid-in capital</t>
  </si>
  <si>
    <t xml:space="preserve">    Accumulated other comprehensive income (loss)</t>
  </si>
  <si>
    <t xml:space="preserve">    Retained earnings</t>
  </si>
  <si>
    <t xml:space="preserve">Total shareholders' equity</t>
  </si>
  <si>
    <t xml:space="preserve">TOTAL LIABILITIES AND SHAREHOLDERS' EQUITY</t>
  </si>
  <si>
    <t xml:space="preserve">Check: Total Assets − (Total Liabilities + Total Equity)</t>
  </si>
  <si>
    <t xml:space="preserve">SELECTED METRICS</t>
  </si>
  <si>
    <t xml:space="preserve">    Working capital (Current assets − current liabilities)</t>
  </si>
  <si>
    <t xml:space="preserve">    Current ratio (Current assets / current liabilities)</t>
  </si>
  <si>
    <t xml:space="preserve">    Debt-to-equity (Total liabilities / total equity)</t>
  </si>
  <si>
    <t xml:space="preserve">Note: figures are as reported in NVIDIA's Form 10-Q (unaudited interim statements). The January 25, 2026 column reflects the audited fiscal year-end balance sheet carried into that filing.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</si>
</sst>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/>
      <c r="C6" s="5"/>
    </row>
    <row r="7" customFormat="false" ht="15" hidden="false" customHeight="false" outlineLevel="0" collapsed="false">
      <c r="A7" s="5" t="s">
        <v>7</v>
      </c>
      <c r="B7" s="5"/>
      <c r="C7" s="5"/>
    </row>
    <row r="8" customFormat="false" ht="15" hidden="false" customHeight="false" outlineLevel="0" collapsed="false">
      <c r="A8" s="6" t="s">
        <v>8</v>
      </c>
      <c r="B8" s="7" t="n">
        <v>22443</v>
      </c>
      <c r="C8" s="7" t="n">
        <v>10605</v>
      </c>
    </row>
    <row r="9" customFormat="false" ht="15" hidden="false" customHeight="false" outlineLevel="0" collapsed="false">
      <c r="A9" s="6" t="s">
        <v>9</v>
      </c>
      <c r="B9" s="7" t="n">
        <v>34143</v>
      </c>
      <c r="C9" s="7" t="n">
        <v>39065</v>
      </c>
    </row>
    <row r="10" customFormat="false" ht="15" hidden="false" customHeight="false" outlineLevel="0" collapsed="false">
      <c r="A10" s="6" t="s">
        <v>10</v>
      </c>
      <c r="B10" s="7" t="n">
        <v>42783</v>
      </c>
      <c r="C10" s="7" t="n">
        <v>12886</v>
      </c>
    </row>
    <row r="11" customFormat="false" ht="15" hidden="false" customHeight="false" outlineLevel="0" collapsed="false">
      <c r="A11" s="6" t="s">
        <v>11</v>
      </c>
      <c r="B11" s="7" t="n">
        <v>63059</v>
      </c>
      <c r="C11" s="7" t="n">
        <v>38466</v>
      </c>
    </row>
    <row r="12" customFormat="false" ht="15" hidden="false" customHeight="false" outlineLevel="0" collapsed="false">
      <c r="A12" s="6" t="s">
        <v>12</v>
      </c>
      <c r="B12" s="7" t="n">
        <v>31575</v>
      </c>
      <c r="C12" s="7" t="n">
        <v>21403</v>
      </c>
    </row>
    <row r="13" customFormat="false" ht="15" hidden="false" customHeight="false" outlineLevel="0" collapsed="false">
      <c r="A13" s="6" t="s">
        <v>13</v>
      </c>
      <c r="B13" s="7" t="n">
        <v>3409</v>
      </c>
      <c r="C13" s="7" t="n">
        <v>3180</v>
      </c>
    </row>
    <row r="14" customFormat="false" ht="15" hidden="false" customHeight="false" outlineLevel="0" collapsed="false">
      <c r="A14" s="8" t="s">
        <v>14</v>
      </c>
      <c r="B14" s="9" t="n">
        <f aca="false">B8+B9+B10+B11+B12+B13</f>
        <v>197412</v>
      </c>
      <c r="C14" s="9" t="n">
        <f aca="false">C8+C9+C10+C11+C12+C13</f>
        <v>125605</v>
      </c>
    </row>
    <row r="15" customFormat="false" ht="15" hidden="false" customHeight="false" outlineLevel="0" collapsed="false">
      <c r="A15" s="5" t="s">
        <v>15</v>
      </c>
      <c r="B15" s="5"/>
      <c r="C15" s="5"/>
    </row>
    <row r="16" customFormat="false" ht="15" hidden="false" customHeight="false" outlineLevel="0" collapsed="false">
      <c r="A16" s="6" t="s">
        <v>16</v>
      </c>
      <c r="B16" s="7" t="n">
        <v>14285</v>
      </c>
      <c r="C16" s="7" t="n">
        <v>10383</v>
      </c>
    </row>
    <row r="17" customFormat="false" ht="15" hidden="false" customHeight="false" outlineLevel="0" collapsed="false">
      <c r="A17" s="6" t="s">
        <v>17</v>
      </c>
      <c r="B17" s="7" t="n">
        <v>5390</v>
      </c>
      <c r="C17" s="7" t="n">
        <v>2867</v>
      </c>
    </row>
    <row r="18" customFormat="false" ht="15" hidden="false" customHeight="false" outlineLevel="0" collapsed="false">
      <c r="A18" s="6" t="s">
        <v>18</v>
      </c>
      <c r="B18" s="7" t="n">
        <v>21125</v>
      </c>
      <c r="C18" s="7" t="n">
        <v>20832</v>
      </c>
    </row>
    <row r="19" customFormat="false" ht="15" hidden="false" customHeight="false" outlineLevel="0" collapsed="false">
      <c r="A19" s="6" t="s">
        <v>19</v>
      </c>
      <c r="B19" s="7" t="n">
        <v>2998</v>
      </c>
      <c r="C19" s="7" t="n">
        <v>3306</v>
      </c>
    </row>
    <row r="20" customFormat="false" ht="15" hidden="false" customHeight="false" outlineLevel="0" collapsed="false">
      <c r="A20" s="6" t="s">
        <v>20</v>
      </c>
      <c r="B20" s="7" t="n">
        <v>12159</v>
      </c>
      <c r="C20" s="7" t="n">
        <v>13258</v>
      </c>
    </row>
    <row r="21" customFormat="false" ht="15" hidden="false" customHeight="false" outlineLevel="0" collapsed="false">
      <c r="A21" s="6" t="s">
        <v>21</v>
      </c>
      <c r="B21" s="7" t="n">
        <v>51157</v>
      </c>
      <c r="C21" s="7" t="n">
        <v>22251</v>
      </c>
    </row>
    <row r="22" customFormat="false" ht="15" hidden="false" customHeight="false" outlineLevel="0" collapsed="false">
      <c r="A22" s="6" t="s">
        <v>22</v>
      </c>
      <c r="B22" s="7" t="n">
        <v>15746</v>
      </c>
      <c r="C22" s="7" t="n">
        <v>8301</v>
      </c>
    </row>
    <row r="24" customFormat="false" ht="15" hidden="false" customHeight="false" outlineLevel="0" collapsed="false">
      <c r="A24" s="10" t="s">
        <v>23</v>
      </c>
      <c r="B24" s="11" t="n">
        <f aca="false">B14+SUM(B16:B22)</f>
        <v>320272</v>
      </c>
      <c r="C24" s="11" t="n">
        <f aca="false">C14+SUM(C16:C22)</f>
        <v>206803</v>
      </c>
    </row>
    <row r="26" customFormat="false" ht="15" hidden="false" customHeight="false" outlineLevel="0" collapsed="false">
      <c r="A26" s="5" t="s">
        <v>24</v>
      </c>
      <c r="B26" s="5"/>
      <c r="C26" s="5"/>
    </row>
    <row r="27" customFormat="false" ht="15" hidden="false" customHeight="false" outlineLevel="0" collapsed="false">
      <c r="A27" s="5" t="s">
        <v>25</v>
      </c>
      <c r="B27" s="5"/>
      <c r="C27" s="5"/>
    </row>
    <row r="28" customFormat="false" ht="15" hidden="false" customHeight="false" outlineLevel="0" collapsed="false">
      <c r="A28" s="6" t="s">
        <v>26</v>
      </c>
      <c r="B28" s="7" t="n">
        <v>15059</v>
      </c>
      <c r="C28" s="7" t="n">
        <v>9812</v>
      </c>
    </row>
    <row r="29" customFormat="false" ht="15" hidden="false" customHeight="false" outlineLevel="0" collapsed="false">
      <c r="A29" s="6" t="s">
        <v>27</v>
      </c>
      <c r="B29" s="7" t="n">
        <v>26960</v>
      </c>
      <c r="C29" s="7" t="n">
        <v>21352</v>
      </c>
    </row>
    <row r="30" customFormat="false" ht="15" hidden="false" customHeight="false" outlineLevel="0" collapsed="false">
      <c r="A30" s="6" t="s">
        <v>28</v>
      </c>
      <c r="B30" s="7" t="n">
        <v>1000</v>
      </c>
      <c r="C30" s="7" t="n">
        <v>999</v>
      </c>
    </row>
    <row r="31" customFormat="false" ht="15" hidden="false" customHeight="false" outlineLevel="0" collapsed="false">
      <c r="A31" s="8" t="s">
        <v>29</v>
      </c>
      <c r="B31" s="9" t="n">
        <f aca="false">B28+B29+B30</f>
        <v>43019</v>
      </c>
      <c r="C31" s="9" t="n">
        <f aca="false">C28+C29+C30</f>
        <v>32163</v>
      </c>
    </row>
    <row r="32" customFormat="false" ht="15" hidden="false" customHeight="false" outlineLevel="0" collapsed="false">
      <c r="A32" s="5" t="s">
        <v>30</v>
      </c>
      <c r="B32" s="5"/>
      <c r="C32" s="5"/>
    </row>
    <row r="33" customFormat="false" ht="15" hidden="false" customHeight="false" outlineLevel="0" collapsed="false">
      <c r="A33" s="6" t="s">
        <v>31</v>
      </c>
      <c r="B33" s="7" t="n">
        <v>32366</v>
      </c>
      <c r="C33" s="7" t="n">
        <v>7469</v>
      </c>
    </row>
    <row r="34" customFormat="false" ht="15" hidden="false" customHeight="false" outlineLevel="0" collapsed="false">
      <c r="A34" s="6" t="s">
        <v>32</v>
      </c>
      <c r="B34" s="7" t="n">
        <v>4985</v>
      </c>
      <c r="C34" s="7" t="n">
        <v>2572</v>
      </c>
    </row>
    <row r="35" customFormat="false" ht="15" hidden="false" customHeight="false" outlineLevel="0" collapsed="false">
      <c r="A35" s="6" t="s">
        <v>33</v>
      </c>
      <c r="B35" s="7" t="n">
        <v>10918</v>
      </c>
      <c r="C35" s="7" t="n">
        <v>7306</v>
      </c>
    </row>
    <row r="37" customFormat="false" ht="15" hidden="false" customHeight="false" outlineLevel="0" collapsed="false">
      <c r="A37" s="8" t="s">
        <v>34</v>
      </c>
      <c r="B37" s="9" t="n">
        <f aca="false">B31+SUM(B33:B35)</f>
        <v>91288</v>
      </c>
      <c r="C37" s="9" t="n">
        <f aca="false">C31+SUM(C33:C35)</f>
        <v>49510</v>
      </c>
    </row>
    <row r="39" customFormat="false" ht="15" hidden="false" customHeight="false" outlineLevel="0" collapsed="false">
      <c r="A39" s="5" t="s">
        <v>35</v>
      </c>
      <c r="B39" s="5"/>
      <c r="C39" s="5"/>
    </row>
    <row r="40" customFormat="false" ht="15" hidden="false" customHeight="false" outlineLevel="0" collapsed="false">
      <c r="A40" s="6" t="s">
        <v>36</v>
      </c>
      <c r="B40" s="7" t="n">
        <v>0</v>
      </c>
      <c r="C40" s="7" t="n">
        <v>0</v>
      </c>
    </row>
    <row r="41" customFormat="false" ht="15" hidden="false" customHeight="false" outlineLevel="0" collapsed="false">
      <c r="A41" s="6" t="s">
        <v>37</v>
      </c>
      <c r="B41" s="7" t="n">
        <v>24</v>
      </c>
      <c r="C41" s="7" t="n">
        <v>24</v>
      </c>
    </row>
    <row r="42" customFormat="false" ht="15" hidden="false" customHeight="false" outlineLevel="0" collapsed="false">
      <c r="A42" s="6" t="s">
        <v>38</v>
      </c>
      <c r="B42" s="7" t="n">
        <v>9828</v>
      </c>
      <c r="C42" s="7" t="n">
        <v>10118</v>
      </c>
    </row>
    <row r="43" customFormat="false" ht="15" hidden="false" customHeight="false" outlineLevel="0" collapsed="false">
      <c r="A43" s="6" t="s">
        <v>39</v>
      </c>
      <c r="B43" s="7" t="n">
        <v>-25</v>
      </c>
      <c r="C43" s="7" t="n">
        <v>178</v>
      </c>
    </row>
    <row r="44" customFormat="false" ht="15" hidden="false" customHeight="false" outlineLevel="0" collapsed="false">
      <c r="A44" s="6" t="s">
        <v>40</v>
      </c>
      <c r="B44" s="7" t="n">
        <v>219157</v>
      </c>
      <c r="C44" s="7" t="n">
        <v>146973</v>
      </c>
    </row>
    <row r="45" customFormat="false" ht="15" hidden="false" customHeight="false" outlineLevel="0" collapsed="false">
      <c r="A45" s="8" t="s">
        <v>41</v>
      </c>
      <c r="B45" s="9" t="n">
        <f aca="false">B40+B41+B42+B43+B44</f>
        <v>228984</v>
      </c>
      <c r="C45" s="9" t="n">
        <f aca="false">C40+C41+C42+C43+C44</f>
        <v>157293</v>
      </c>
    </row>
    <row r="47" customFormat="false" ht="15" hidden="false" customHeight="false" outlineLevel="0" collapsed="false">
      <c r="A47" s="10" t="s">
        <v>42</v>
      </c>
      <c r="B47" s="11" t="n">
        <f aca="false">B37+B45</f>
        <v>320272</v>
      </c>
      <c r="C47" s="11" t="n">
        <f aca="false">C37+C45</f>
        <v>206803</v>
      </c>
    </row>
    <row r="49" customFormat="false" ht="15" hidden="false" customHeight="false" outlineLevel="0" collapsed="false">
      <c r="A49" s="12" t="s">
        <v>43</v>
      </c>
      <c r="B49" s="13" t="n">
        <f aca="false">B24-B47</f>
        <v>0</v>
      </c>
      <c r="C49" s="13" t="n">
        <f aca="false">C24-C47</f>
        <v>0</v>
      </c>
    </row>
    <row r="51" customFormat="false" ht="15" hidden="false" customHeight="false" outlineLevel="0" collapsed="false">
      <c r="A51" s="5" t="s">
        <v>44</v>
      </c>
      <c r="B51" s="5"/>
      <c r="C51" s="5"/>
    </row>
    <row r="53" customFormat="false" ht="15" hidden="false" customHeight="false" outlineLevel="0" collapsed="false">
      <c r="A53" s="14" t="s">
        <v>45</v>
      </c>
      <c r="B53" s="15" t="n">
        <f aca="false">B14-B31</f>
        <v>154393</v>
      </c>
      <c r="C53" s="15" t="n">
        <f aca="false">C14-C31</f>
        <v>93442</v>
      </c>
    </row>
    <row r="54" customFormat="false" ht="15" hidden="false" customHeight="false" outlineLevel="0" collapsed="false">
      <c r="A54" s="14" t="s">
        <v>46</v>
      </c>
      <c r="B54" s="16" t="n">
        <f aca="false">IFERROR(B14/B31,0)</f>
        <v>4.58894906901602</v>
      </c>
      <c r="C54" s="16" t="n">
        <f aca="false">IFERROR(C14/C31,0)</f>
        <v>3.90526381245531</v>
      </c>
    </row>
    <row r="55" customFormat="false" ht="15" hidden="false" customHeight="false" outlineLevel="0" collapsed="false">
      <c r="A55" s="14" t="s">
        <v>47</v>
      </c>
      <c r="B55" s="16" t="n">
        <f aca="false">IFERROR(B37/B45,0)</f>
        <v>0.398665408936869</v>
      </c>
      <c r="C55" s="16" t="n">
        <f aca="false">IFERROR(C37/C45,0)</f>
        <v>0.314762894725131</v>
      </c>
    </row>
    <row r="57" customFormat="false" ht="35.05" hidden="false" customHeight="true" outlineLevel="0" collapsed="false">
      <c r="A57" s="3" t="s">
        <v>48</v>
      </c>
      <c r="B57" s="3"/>
      <c r="C57" s="3"/>
    </row>
  </sheetData>
  <mergeCells count="2">
    <mergeCell ref="A3:C3"/>
    <mergeCell ref="A57:C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2026-09-05T21:39:09Z</dcterms:created>
  <dc:creator>openpyxl</dc:creator>
  <dc:description/>
  <dc:language>en-US</dc:language>
  <cp:lastModifiedBy/>
  <dcterms:modified xsi:type="dcterms:W3CDTF">2026-09-05T21:39:09Z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